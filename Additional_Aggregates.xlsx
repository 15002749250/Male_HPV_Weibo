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200" activeTab="4"/>
  </bookViews>
  <sheets>
    <sheet name="Corpus_Flow" sheetId="1" r:id="rId1"/>
    <sheet name="Category_Frequencies" sheetId="2" r:id="rId2"/>
    <sheet name="Monthly_Volume" sheetId="3" r:id="rId3"/>
    <sheet name="Episode_Summary" sheetId="4" r:id="rId4"/>
    <sheet name="Overall_Engagemen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<sst xmlns="http://schemas.openxmlformats.org/spreadsheetml/2006/main" count="243" uniqueCount="174">
  <si>
    <t>Corpus construction and screening</t>
  </si>
  <si>
    <t>Population</t>
  </si>
  <si>
    <t>Comment or episode count</t>
  </si>
  <si>
    <t>Notes</t>
  </si>
  <si>
    <t>Source comments</t>
  </si>
  <si>
    <t>Parent posts are context, not additional comments.</t>
  </si>
  <si>
    <t>Analytic comments</t>
  </si>
  <si>
    <t>Episodes are selected source threads, not another screening stage.</t>
  </si>
  <si>
    <t>Excluded comments</t>
  </si>
  <si>
    <t>Rules document the retained historical screening record.</t>
  </si>
  <si>
    <t>Selected episodes</t>
  </si>
  <si>
    <t>Episode raw comments</t>
  </si>
  <si>
    <t>Episode retained comments</t>
  </si>
  <si>
    <t>Episode excluded comments</t>
  </si>
  <si>
    <t>Sequential recorded exclusions</t>
  </si>
  <si>
    <t>Step</t>
  </si>
  <si>
    <t>Before</t>
  </si>
  <si>
    <t>Removed</t>
  </si>
  <si>
    <t>Remaining</t>
  </si>
  <si>
    <t>Documented rule</t>
  </si>
  <si>
    <t>X1</t>
  </si>
  <si>
    <t>Empty text</t>
  </si>
  <si>
    <t>X2</t>
  </si>
  <si>
    <t>Platform system message</t>
  </si>
  <si>
    <t>X3</t>
  </si>
  <si>
    <t>No substantive linguistic content</t>
  </si>
  <si>
    <t>X4</t>
  </si>
  <si>
    <t>Same-user duplicate text</t>
  </si>
  <si>
    <t>X5</t>
  </si>
  <si>
    <t>Template repetitions &gt;=10; mean likes &lt;5</t>
  </si>
  <si>
    <t>X6</t>
  </si>
  <si>
    <t>Topical score 0; length &gt;=15; likes &lt;10</t>
  </si>
  <si>
    <t>Recorded category frequencies</t>
  </si>
  <si>
    <t>Code</t>
  </si>
  <si>
    <t>Crosswalk level</t>
  </si>
  <si>
    <t>Recorded category</t>
  </si>
  <si>
    <t>Recorded count</t>
  </si>
  <si>
    <t>Proportion</t>
  </si>
  <si>
    <t>Denominator</t>
  </si>
  <si>
    <t>A</t>
  </si>
  <si>
    <t>strategy</t>
  </si>
  <si>
    <t>Gender conflict</t>
  </si>
  <si>
    <t>Categories overlap; percentages are non-exclusive.</t>
  </si>
  <si>
    <t>B</t>
  </si>
  <si>
    <t>Commercial suspicion</t>
  </si>
  <si>
    <t>Counts verify stored A–N labels, not complete contextual validation.</t>
  </si>
  <si>
    <t>C</t>
  </si>
  <si>
    <t>Moralised sexual discourse</t>
  </si>
  <si>
    <t>Source: S2 Analytic_Corpus frame_codes_recorded.</t>
  </si>
  <si>
    <t>D</t>
  </si>
  <si>
    <t>identity</t>
  </si>
  <si>
    <t>Masculinity performance</t>
  </si>
  <si>
    <t>E</t>
  </si>
  <si>
    <t>Sexual orientation or MSM labels</t>
  </si>
  <si>
    <t>F</t>
  </si>
  <si>
    <t>topic</t>
  </si>
  <si>
    <t>Safety and side effects</t>
  </si>
  <si>
    <t>G</t>
  </si>
  <si>
    <t>Price access and fairness</t>
  </si>
  <si>
    <t>H</t>
  </si>
  <si>
    <t>Age vaccine type and indication</t>
  </si>
  <si>
    <t>I</t>
  </si>
  <si>
    <t>Partner responsibility</t>
  </si>
  <si>
    <t>J</t>
  </si>
  <si>
    <t>Evidence and data questions</t>
  </si>
  <si>
    <t>K</t>
  </si>
  <si>
    <t>Institutional references</t>
  </si>
  <si>
    <t>L</t>
  </si>
  <si>
    <t>Domestic imported and national references</t>
  </si>
  <si>
    <t>M</t>
  </si>
  <si>
    <t>stance</t>
  </si>
  <si>
    <t>Affirming preventive or educational indicators</t>
  </si>
  <si>
    <t>N</t>
  </si>
  <si>
    <t>Refusal or hesitation</t>
  </si>
  <si>
    <t>Monthly source comments</t>
  </si>
  <si>
    <t>Year month</t>
  </si>
  <si>
    <t>Descriptive phase</t>
  </si>
  <si>
    <t>Phase</t>
  </si>
  <si>
    <t>2025-01</t>
  </si>
  <si>
    <t>Phase 1</t>
  </si>
  <si>
    <t>2025-02</t>
  </si>
  <si>
    <t>Phase 2</t>
  </si>
  <si>
    <t>2025-03</t>
  </si>
  <si>
    <t>Phase 3</t>
  </si>
  <si>
    <t>2025-04</t>
  </si>
  <si>
    <t>Phase 4</t>
  </si>
  <si>
    <t>2025-05</t>
  </si>
  <si>
    <t>2025-06</t>
  </si>
  <si>
    <t>2025-07</t>
  </si>
  <si>
    <t>Jan 2025 begins on 8 January; Sep 2026 ends on 3 September.</t>
  </si>
  <si>
    <t>2025-08</t>
  </si>
  <si>
    <t>Source: S1 Source_Corpus year_month and phase.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</si>
  <si>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</si>
  <si>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</si>
  <si>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</si>
  <si>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</si>
  <si>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</si>
  <si>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</si>
  <si>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</si>
  <si>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</si>
  <si>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</si>
  <si>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</si>
  <si>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</si>
  <si>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</si>
  <si>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</si>
  <si>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Total</t>
  </si>
  <si>
    <t>Counts for the twenty qualitative episodes</t>
  </si>
  <si>
    <t>Episode</t>
  </si>
  <si>
    <t>Source type</t>
  </si>
  <si>
    <t>Raw comments</t>
  </si>
  <si>
    <t>Retained comments</t>
  </si>
  <si>
    <t>E1</t>
  </si>
  <si>
    <t>Health-communication KOL</t>
  </si>
  <si>
    <t>No comment text, parent-post text or account keys are included.</t>
  </si>
  <si>
    <t>E2</t>
  </si>
  <si>
    <t>Physician KOL</t>
  </si>
  <si>
    <t>Source: S3 Episodes; all counts exclude parent posts.</t>
  </si>
  <si>
    <t>E3</t>
  </si>
  <si>
    <t>News aggregator</t>
  </si>
  <si>
    <t>E4</t>
  </si>
  <si>
    <t>Self-media</t>
  </si>
  <si>
    <t>E5</t>
  </si>
  <si>
    <t>Regional news media</t>
  </si>
  <si>
    <t>E6</t>
  </si>
  <si>
    <t>Financial news media</t>
  </si>
  <si>
    <t>E7</t>
  </si>
  <si>
    <t>Nutrition KOL</t>
  </si>
  <si>
    <t>E8</t>
  </si>
  <si>
    <t>Education self-media</t>
  </si>
  <si>
    <t>E9</t>
  </si>
  <si>
    <t>Entertainment self-media</t>
  </si>
  <si>
    <t>E10</t>
  </si>
  <si>
    <t>Overseas-life self-media</t>
  </si>
  <si>
    <t>E11</t>
  </si>
  <si>
    <t>Sports news media</t>
  </si>
  <si>
    <t>E12</t>
  </si>
  <si>
    <t>Entertainment KOL</t>
  </si>
  <si>
    <t>E13</t>
  </si>
  <si>
    <t>Commentary self-media</t>
  </si>
  <si>
    <t>E14</t>
  </si>
  <si>
    <t>Physician</t>
  </si>
  <si>
    <t>E15</t>
  </si>
  <si>
    <t>E16</t>
  </si>
  <si>
    <t>E17</t>
  </si>
  <si>
    <t>Animation self-media</t>
  </si>
  <si>
    <t>E18</t>
  </si>
  <si>
    <t>State news media</t>
  </si>
  <si>
    <t>E19</t>
  </si>
  <si>
    <t>Anime self-media</t>
  </si>
  <si>
    <t>E20</t>
  </si>
  <si>
    <t>Dermatologist</t>
  </si>
  <si>
    <t>Overall source like distribution</t>
  </si>
  <si>
    <t>Measure</t>
  </si>
  <si>
    <t>Value</t>
  </si>
  <si>
    <t>Unit</t>
  </si>
  <si>
    <t>Definitions</t>
  </si>
  <si>
    <t>comments</t>
  </si>
  <si>
    <t>All 23,609 pre-screening comments, including zeros.</t>
  </si>
  <si>
    <t>Zero-like comments</t>
  </si>
  <si>
    <t>99th percentile uses linear interpolation.</t>
  </si>
  <si>
    <t>Zero-like proportion</t>
  </si>
  <si>
    <t>proportion</t>
  </si>
  <si>
    <t>Mean ln(1 + likes) averages the per-comment natural logarithm.</t>
  </si>
  <si>
    <t>Median likes</t>
  </si>
  <si>
    <t>likes/comment</t>
  </si>
  <si>
    <t>Likes do not establish agreement, influence or amplification.</t>
  </si>
  <si>
    <t>Mean likes</t>
  </si>
  <si>
    <t>Source: S1 Source_Corpus like_count.</t>
  </si>
  <si>
    <t>99th percentile likes</t>
  </si>
  <si>
    <t>Maximum likes</t>
  </si>
  <si>
    <t>Mean ln(1 + likes)</t>
  </si>
  <si>
    <t>natural-log units</t>
  </si>
  <si>
    <t>Comments with at least 50 likes</t>
  </si>
  <si>
    <t>At-least-50-like proportion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</si>
</sst>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0000"/>
  </numFmts>
  <fonts count="25">
    <font>
      <sz val="11"/>
      <name val="Carlito"/>
      <charset val="134"/>
    </font>
    <font>
      <b/>
      <sz val="14"/>
      <color rgb="FF172C43"/>
      <name val="Arial"/>
      <charset val="134"/>
    </font>
    <font>
      <b/>
      <sz val="10"/>
      <color rgb="FFFFFFFF"/>
      <name val="Arial"/>
      <charset val="134"/>
    </font>
    <font>
      <sz val="10"/>
      <name val="Arial"/>
      <charset val="134"/>
    </font>
    <font>
      <b/>
      <sz val="11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2576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0" fillId="0" borderId="0"/>
  </cellStyleXfs>
  <cellXfs count="13">
    <xf numFmtId="0" fontId="0" fillId="0" borderId="0" xfId="49"/>
    <xf numFmtId="0" fontId="1" fillId="0" borderId="0" xfId="49" applyNumberFormat="1" applyFont="1" applyFill="1" applyBorder="1"/>
    <xf numFmtId="0" fontId="2" fillId="2" borderId="0" xfId="49" applyNumberFormat="1" applyFont="1" applyFill="1" applyBorder="1" applyAlignment="1">
      <alignment horizontal="center" vertical="center"/>
    </xf>
    <xf numFmtId="0" fontId="3" fillId="0" borderId="0" xfId="49" applyNumberFormat="1" applyFont="1" applyFill="1" applyBorder="1" applyAlignment="1">
      <alignment vertical="center"/>
    </xf>
    <xf numFmtId="3" fontId="3" fillId="0" borderId="0" xfId="49" applyNumberFormat="1" applyFont="1" applyFill="1" applyBorder="1" applyAlignment="1">
      <alignment vertical="center"/>
    </xf>
    <xf numFmtId="10" fontId="3" fillId="0" borderId="0" xfId="49" applyNumberFormat="1" applyFont="1" applyFill="1" applyBorder="1" applyAlignment="1">
      <alignment vertical="center"/>
    </xf>
    <xf numFmtId="176" fontId="3" fillId="0" borderId="0" xfId="49" applyNumberFormat="1" applyFont="1" applyFill="1" applyBorder="1" applyAlignment="1">
      <alignment vertical="center"/>
    </xf>
    <xf numFmtId="3" fontId="0" fillId="0" borderId="0" xfId="49" applyNumberFormat="1" applyFont="1" applyFill="1" applyBorder="1"/>
    <xf numFmtId="0" fontId="2" fillId="2" borderId="0" xfId="49" applyNumberFormat="1" applyFont="1" applyFill="1" applyBorder="1"/>
    <xf numFmtId="0" fontId="3" fillId="0" borderId="0" xfId="49" applyNumberFormat="1" applyFont="1" applyFill="1" applyBorder="1"/>
    <xf numFmtId="3" fontId="3" fillId="0" borderId="0" xfId="49" applyNumberFormat="1" applyFont="1" applyFill="1" applyBorder="1"/>
    <xf numFmtId="10" fontId="3" fillId="0" borderId="0" xfId="49" applyNumberFormat="1" applyFont="1" applyFill="1" applyBorder="1"/>
    <xf numFmtId="0" fontId="4" fillId="0" borderId="0" xfId="49" applyNumberFormat="1" applyFont="1" applyFill="1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42576D"/>
  </sheetPr>
  <dimension ref="A2:G22"/>
  <sheetViews>
    <sheetView showGridLines="0" workbookViewId="0">
      <selection activeCell="B6" sqref="B6"/>
    </sheetView>
  </sheetViews>
  <sheetFormatPr defaultColWidth="9" defaultRowHeight="16.8" outlineLevelCol="6"/>
  <cols>
    <col min="1" max="1" width="38.4117647058824" customWidth="1"/>
    <col min="2" max="2" width="21.2352941176471" customWidth="1"/>
    <col min="3" max="4" width="16" customWidth="1"/>
    <col min="5" max="5" width="57" customWidth="1"/>
    <col min="7" max="7" width="82" customWidth="1"/>
  </cols>
  <sheetData>
    <row r="2" ht="20.4" spans="1:7">
      <c r="A2" s="1" t="s">
        <v>0</v>
      </c>
    </row>
    <row r="4" ht="23" customHeight="1" spans="1:7">
      <c r="A4" s="2" t="s">
        <v>1</v>
      </c>
      <c r="B4" s="2" t="s">
        <v>2</v>
      </c>
      <c r="G4" t="s">
        <v>3</v>
      </c>
    </row>
    <row r="5" ht="23" customHeight="1" spans="1:7">
      <c r="A5" s="3" t="s">
        <v>4</v>
      </c>
      <c r="B5" s="4">
        <v>23609</v>
      </c>
      <c r="G5" t="s">
        <v>5</v>
      </c>
    </row>
    <row r="6" ht="23" customHeight="1" spans="1:7">
      <c r="A6" s="3" t="s">
        <v>6</v>
      </c>
      <c r="B6" s="4">
        <v>18246</v>
      </c>
      <c r="G6" t="s">
        <v>7</v>
      </c>
    </row>
    <row r="7" ht="23" customHeight="1" spans="1:7">
      <c r="A7" s="3" t="s">
        <v>8</v>
      </c>
      <c r="B7" s="4">
        <f>B5-B6</f>
        <v>5363</v>
      </c>
      <c r="G7" t="s">
        <v>9</v>
      </c>
    </row>
    <row r="8" ht="23" customHeight="1" spans="1:7">
      <c r="A8" s="3" t="s">
        <v>10</v>
      </c>
      <c r="B8" s="4">
        <v>20</v>
      </c>
    </row>
    <row r="9" ht="23" customHeight="1" spans="1:7">
      <c r="A9" s="3" t="s">
        <v>11</v>
      </c>
      <c r="B9" s="4">
        <v>3732</v>
      </c>
    </row>
    <row r="10" ht="23" customHeight="1" spans="1:7">
      <c r="A10" s="3" t="s">
        <v>12</v>
      </c>
      <c r="B10" s="4">
        <v>3133</v>
      </c>
    </row>
    <row r="11" ht="23" customHeight="1" spans="1:7">
      <c r="A11" s="3" t="s">
        <v>13</v>
      </c>
      <c r="B11" s="4">
        <v>599</v>
      </c>
    </row>
    <row r="14" spans="1:7">
      <c r="A14" s="12" t="s">
        <v>14</v>
      </c>
    </row>
    <row r="16" ht="23" customHeight="1" spans="1:7">
      <c r="A16" s="8" t="s">
        <v>15</v>
      </c>
      <c r="B16" s="8" t="s">
        <v>16</v>
      </c>
      <c r="C16" s="8" t="s">
        <v>17</v>
      </c>
      <c r="D16" s="8" t="s">
        <v>18</v>
      </c>
      <c r="E16" s="8" t="s">
        <v>19</v>
      </c>
    </row>
    <row r="17" ht="23" customHeight="1" spans="1:5">
      <c r="A17" s="9" t="s">
        <v>20</v>
      </c>
      <c r="B17" s="10">
        <f>B5</f>
        <v>23609</v>
      </c>
      <c r="C17" s="10">
        <v>0</v>
      </c>
      <c r="D17" s="10">
        <f t="shared" ref="D17:D22" si="0">B17-C17</f>
        <v>23609</v>
      </c>
      <c r="E17" s="9" t="s">
        <v>21</v>
      </c>
    </row>
    <row r="18" ht="23" customHeight="1" spans="1:5">
      <c r="A18" s="9" t="s">
        <v>22</v>
      </c>
      <c r="B18" s="10">
        <f>D17</f>
        <v>23609</v>
      </c>
      <c r="C18" s="10">
        <v>2</v>
      </c>
      <c r="D18" s="10">
        <f t="shared" si="0"/>
        <v>23607</v>
      </c>
      <c r="E18" s="9" t="s">
        <v>23</v>
      </c>
    </row>
    <row r="19" ht="23" customHeight="1" spans="1:5">
      <c r="A19" s="9" t="s">
        <v>24</v>
      </c>
      <c r="B19" s="10">
        <f>D18</f>
        <v>23607</v>
      </c>
      <c r="C19" s="10">
        <v>1220</v>
      </c>
      <c r="D19" s="10">
        <f t="shared" si="0"/>
        <v>22387</v>
      </c>
      <c r="E19" s="9" t="s">
        <v>25</v>
      </c>
    </row>
    <row r="20" ht="23" customHeight="1" spans="1:5">
      <c r="A20" s="9" t="s">
        <v>26</v>
      </c>
      <c r="B20" s="10">
        <f>D19</f>
        <v>22387</v>
      </c>
      <c r="C20" s="10">
        <v>542</v>
      </c>
      <c r="D20" s="10">
        <f t="shared" si="0"/>
        <v>21845</v>
      </c>
      <c r="E20" s="9" t="s">
        <v>27</v>
      </c>
    </row>
    <row r="21" ht="23" customHeight="1" spans="1:5">
      <c r="A21" s="9" t="s">
        <v>28</v>
      </c>
      <c r="B21" s="10">
        <f>D20</f>
        <v>21845</v>
      </c>
      <c r="C21" s="10">
        <v>2425</v>
      </c>
      <c r="D21" s="10">
        <f t="shared" si="0"/>
        <v>19420</v>
      </c>
      <c r="E21" s="9" t="s">
        <v>29</v>
      </c>
    </row>
    <row r="22" ht="23" customHeight="1" spans="1:5">
      <c r="A22" s="9" t="s">
        <v>30</v>
      </c>
      <c r="B22" s="10">
        <f>D21</f>
        <v>19420</v>
      </c>
      <c r="C22" s="10">
        <v>1174</v>
      </c>
      <c r="D22" s="10">
        <f t="shared" si="0"/>
        <v>18246</v>
      </c>
      <c r="E22" s="9" t="s">
        <v>31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42576D"/>
  </sheetPr>
  <dimension ref="A2:H18"/>
  <sheetViews>
    <sheetView showGridLines="0" workbookViewId="0">
      <selection activeCell="D29" sqref="D29"/>
    </sheetView>
  </sheetViews>
  <sheetFormatPr defaultColWidth="9" defaultRowHeight="16.8" outlineLevelCol="7"/>
  <cols>
    <col min="1" max="1" width="9" customWidth="1"/>
    <col min="2" max="2" width="18" customWidth="1"/>
    <col min="3" max="3" width="54" customWidth="1"/>
    <col min="4" max="4" width="18" customWidth="1"/>
    <col min="5" max="5" width="17" customWidth="1"/>
    <col min="6" max="6" width="18" customWidth="1"/>
    <col min="8" max="8" width="83" customWidth="1"/>
  </cols>
  <sheetData>
    <row r="2" ht="20.4" spans="1:8">
      <c r="A2" s="1" t="s">
        <v>32</v>
      </c>
    </row>
    <row r="4" ht="23" customHeight="1" spans="1:8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38</v>
      </c>
      <c r="H4" t="s">
        <v>3</v>
      </c>
    </row>
    <row r="5" ht="23" customHeight="1" spans="1:8">
      <c r="A5" s="3" t="s">
        <v>39</v>
      </c>
      <c r="B5" s="3" t="s">
        <v>40</v>
      </c>
      <c r="C5" s="3" t="s">
        <v>41</v>
      </c>
      <c r="D5" s="4">
        <v>90</v>
      </c>
      <c r="E5" s="5">
        <f t="shared" ref="E5:E18" si="0">D5/F5</f>
        <v>0.00493258796448537</v>
      </c>
      <c r="F5" s="4">
        <f>Corpus_Flow!$B$6</f>
        <v>18246</v>
      </c>
      <c r="H5" t="s">
        <v>42</v>
      </c>
    </row>
    <row r="6" ht="23" customHeight="1" spans="1:8">
      <c r="A6" s="3" t="s">
        <v>43</v>
      </c>
      <c r="B6" s="3" t="s">
        <v>40</v>
      </c>
      <c r="C6" s="3" t="s">
        <v>44</v>
      </c>
      <c r="D6" s="4">
        <v>496</v>
      </c>
      <c r="E6" s="5">
        <f t="shared" si="0"/>
        <v>0.0271840403376082</v>
      </c>
      <c r="F6" s="4">
        <f>Corpus_Flow!$B$6</f>
        <v>18246</v>
      </c>
      <c r="H6" t="s">
        <v>45</v>
      </c>
    </row>
    <row r="7" ht="23" customHeight="1" spans="1:8">
      <c r="A7" s="3" t="s">
        <v>46</v>
      </c>
      <c r="B7" s="3" t="s">
        <v>40</v>
      </c>
      <c r="C7" s="3" t="s">
        <v>47</v>
      </c>
      <c r="D7" s="4">
        <v>541</v>
      </c>
      <c r="E7" s="5">
        <f t="shared" si="0"/>
        <v>0.0296503343198509</v>
      </c>
      <c r="F7" s="4">
        <f>Corpus_Flow!$B$6</f>
        <v>18246</v>
      </c>
      <c r="H7" t="s">
        <v>48</v>
      </c>
    </row>
    <row r="8" ht="23" customHeight="1" spans="1:8">
      <c r="A8" s="3" t="s">
        <v>49</v>
      </c>
      <c r="B8" s="3" t="s">
        <v>50</v>
      </c>
      <c r="C8" s="3" t="s">
        <v>51</v>
      </c>
      <c r="D8" s="4">
        <v>16</v>
      </c>
      <c r="E8" s="5">
        <f t="shared" si="0"/>
        <v>0.000876904527019621</v>
      </c>
      <c r="F8" s="4">
        <f>Corpus_Flow!$B$6</f>
        <v>18246</v>
      </c>
    </row>
    <row r="9" ht="23" customHeight="1" spans="1:8">
      <c r="A9" s="3" t="s">
        <v>52</v>
      </c>
      <c r="B9" s="3" t="s">
        <v>50</v>
      </c>
      <c r="C9" s="3" t="s">
        <v>53</v>
      </c>
      <c r="D9" s="4">
        <v>120</v>
      </c>
      <c r="E9" s="5">
        <f t="shared" si="0"/>
        <v>0.00657678395264716</v>
      </c>
      <c r="F9" s="4">
        <f>Corpus_Flow!$B$6</f>
        <v>18246</v>
      </c>
    </row>
    <row r="10" ht="23" customHeight="1" spans="1:8">
      <c r="A10" s="3" t="s">
        <v>54</v>
      </c>
      <c r="B10" s="3" t="s">
        <v>55</v>
      </c>
      <c r="C10" s="3" t="s">
        <v>56</v>
      </c>
      <c r="D10" s="4">
        <v>668</v>
      </c>
      <c r="E10" s="5">
        <f t="shared" si="0"/>
        <v>0.0366107640030692</v>
      </c>
      <c r="F10" s="4">
        <f>Corpus_Flow!$B$6</f>
        <v>18246</v>
      </c>
    </row>
    <row r="11" ht="23" customHeight="1" spans="1:8">
      <c r="A11" s="3" t="s">
        <v>57</v>
      </c>
      <c r="B11" s="3" t="s">
        <v>55</v>
      </c>
      <c r="C11" s="3" t="s">
        <v>58</v>
      </c>
      <c r="D11" s="4">
        <v>891</v>
      </c>
      <c r="E11" s="5">
        <f t="shared" si="0"/>
        <v>0.0488326208484051</v>
      </c>
      <c r="F11" s="4">
        <f>Corpus_Flow!$B$6</f>
        <v>18246</v>
      </c>
    </row>
    <row r="12" ht="23" customHeight="1" spans="1:8">
      <c r="A12" s="3" t="s">
        <v>59</v>
      </c>
      <c r="B12" s="3" t="s">
        <v>55</v>
      </c>
      <c r="C12" s="3" t="s">
        <v>60</v>
      </c>
      <c r="D12" s="4">
        <v>1910</v>
      </c>
      <c r="E12" s="5">
        <f t="shared" si="0"/>
        <v>0.104680477912967</v>
      </c>
      <c r="F12" s="4">
        <f>Corpus_Flow!$B$6</f>
        <v>18246</v>
      </c>
    </row>
    <row r="13" ht="23" customHeight="1" spans="1:8">
      <c r="A13" s="3" t="s">
        <v>61</v>
      </c>
      <c r="B13" s="3" t="s">
        <v>50</v>
      </c>
      <c r="C13" s="3" t="s">
        <v>62</v>
      </c>
      <c r="D13" s="4">
        <v>1037</v>
      </c>
      <c r="E13" s="5">
        <f t="shared" si="0"/>
        <v>0.0568343746574592</v>
      </c>
      <c r="F13" s="4">
        <f>Corpus_Flow!$B$6</f>
        <v>18246</v>
      </c>
    </row>
    <row r="14" ht="23" customHeight="1" spans="1:8">
      <c r="A14" s="3" t="s">
        <v>63</v>
      </c>
      <c r="B14" s="3" t="s">
        <v>55</v>
      </c>
      <c r="C14" s="3" t="s">
        <v>64</v>
      </c>
      <c r="D14" s="4">
        <v>236</v>
      </c>
      <c r="E14" s="5">
        <f t="shared" si="0"/>
        <v>0.0129343417735394</v>
      </c>
      <c r="F14" s="4">
        <f>Corpus_Flow!$B$6</f>
        <v>18246</v>
      </c>
    </row>
    <row r="15" ht="23" customHeight="1" spans="1:8">
      <c r="A15" s="3" t="s">
        <v>65</v>
      </c>
      <c r="B15" s="3" t="s">
        <v>55</v>
      </c>
      <c r="C15" s="3" t="s">
        <v>66</v>
      </c>
      <c r="D15" s="4">
        <v>159</v>
      </c>
      <c r="E15" s="5">
        <f t="shared" si="0"/>
        <v>0.00871423873725748</v>
      </c>
      <c r="F15" s="4">
        <f>Corpus_Flow!$B$6</f>
        <v>18246</v>
      </c>
    </row>
    <row r="16" ht="23" customHeight="1" spans="1:8">
      <c r="A16" s="3" t="s">
        <v>67</v>
      </c>
      <c r="B16" s="3" t="s">
        <v>55</v>
      </c>
      <c r="C16" s="3" t="s">
        <v>68</v>
      </c>
      <c r="D16" s="4">
        <v>349</v>
      </c>
      <c r="E16" s="5">
        <f t="shared" si="0"/>
        <v>0.0191274799956155</v>
      </c>
      <c r="F16" s="4">
        <f>Corpus_Flow!$B$6</f>
        <v>18246</v>
      </c>
    </row>
    <row r="17" ht="23" customHeight="1" spans="1:6">
      <c r="A17" s="3" t="s">
        <v>69</v>
      </c>
      <c r="B17" s="3" t="s">
        <v>70</v>
      </c>
      <c r="C17" s="3" t="s">
        <v>71</v>
      </c>
      <c r="D17" s="4">
        <v>5583</v>
      </c>
      <c r="E17" s="5">
        <f t="shared" si="0"/>
        <v>0.305984873396909</v>
      </c>
      <c r="F17" s="4">
        <f>Corpus_Flow!$B$6</f>
        <v>18246</v>
      </c>
    </row>
    <row r="18" ht="23" customHeight="1" spans="1:6">
      <c r="A18" s="3" t="s">
        <v>72</v>
      </c>
      <c r="B18" s="3" t="s">
        <v>70</v>
      </c>
      <c r="C18" s="3" t="s">
        <v>73</v>
      </c>
      <c r="D18" s="4">
        <v>285</v>
      </c>
      <c r="E18" s="5">
        <f t="shared" si="0"/>
        <v>0.015619861887537</v>
      </c>
      <c r="F18" s="4">
        <f>Corpus_Flow!$B$6</f>
        <v>18246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42576D"/>
  </sheetPr>
  <dimension ref="A2:H27"/>
  <sheetViews>
    <sheetView showGridLines="0" workbookViewId="0">
      <selection activeCell="H18" sqref="H18"/>
    </sheetView>
  </sheetViews>
  <sheetFormatPr defaultColWidth="9" defaultRowHeight="16.8" outlineLevelCol="7"/>
  <cols>
    <col min="1" max="1" width="17" customWidth="1"/>
    <col min="2" max="2" width="22" customWidth="1"/>
    <col min="3" max="3" width="23" customWidth="1"/>
    <col min="4" max="4" width="17" customWidth="1"/>
    <col min="6" max="8" width="20" customWidth="1"/>
  </cols>
  <sheetData>
    <row r="2" ht="20.4" spans="1:8">
      <c r="A2" s="1" t="s">
        <v>74</v>
      </c>
    </row>
    <row r="4" ht="23" customHeight="1" spans="1:8">
      <c r="A4" s="2" t="s">
        <v>75</v>
      </c>
      <c r="B4" s="2" t="s">
        <v>4</v>
      </c>
      <c r="C4" s="2" t="s">
        <v>76</v>
      </c>
      <c r="D4" s="2" t="s">
        <v>37</v>
      </c>
      <c r="F4" s="8" t="s">
        <v>77</v>
      </c>
      <c r="G4" s="8" t="s">
        <v>4</v>
      </c>
      <c r="H4" s="8" t="s">
        <v>37</v>
      </c>
    </row>
    <row r="5" ht="23" customHeight="1" spans="1:8">
      <c r="A5" s="3" t="s">
        <v>78</v>
      </c>
      <c r="B5" s="4">
        <v>4796</v>
      </c>
      <c r="C5" s="3" t="s">
        <v>79</v>
      </c>
      <c r="D5" s="5">
        <f>B5/Corpus_Flow!$B$5</f>
        <v>0.20314286924478</v>
      </c>
      <c r="F5" s="9" t="s">
        <v>79</v>
      </c>
      <c r="G5" s="10">
        <f>SUMIF($C$5:$C$25,F5,$B$5:$B$25)</f>
        <v>6034</v>
      </c>
      <c r="H5" s="11">
        <f>G5/Corpus_Flow!$B$5</f>
        <v>0.25558049896226</v>
      </c>
    </row>
    <row r="6" ht="23" customHeight="1" spans="1:8">
      <c r="A6" s="3" t="s">
        <v>80</v>
      </c>
      <c r="B6" s="4">
        <v>319</v>
      </c>
      <c r="C6" s="3" t="s">
        <v>79</v>
      </c>
      <c r="D6" s="5">
        <f>B6/Corpus_Flow!$B$5</f>
        <v>0.01351179634885</v>
      </c>
      <c r="F6" s="9" t="s">
        <v>81</v>
      </c>
      <c r="G6" s="10">
        <f>SUMIF($C$5:$C$25,F6,$B$5:$B$25)</f>
        <v>8805</v>
      </c>
      <c r="H6" s="11">
        <f>G6/Corpus_Flow!$B$5</f>
        <v>0.37295099326528</v>
      </c>
    </row>
    <row r="7" ht="23" customHeight="1" spans="1:8">
      <c r="A7" s="3" t="s">
        <v>82</v>
      </c>
      <c r="B7" s="4">
        <v>919</v>
      </c>
      <c r="C7" s="3" t="s">
        <v>79</v>
      </c>
      <c r="D7" s="5">
        <f>B7/Corpus_Flow!$B$5</f>
        <v>0.0389258333686306</v>
      </c>
      <c r="F7" s="9" t="s">
        <v>83</v>
      </c>
      <c r="G7" s="10">
        <f>SUMIF($C$5:$C$25,F7,$B$5:$B$25)</f>
        <v>4488</v>
      </c>
      <c r="H7" s="11">
        <f>G7/Corpus_Flow!$B$5</f>
        <v>0.190096996907959</v>
      </c>
    </row>
    <row r="8" ht="23" customHeight="1" spans="1:8">
      <c r="A8" s="3" t="s">
        <v>84</v>
      </c>
      <c r="B8" s="4">
        <v>6139</v>
      </c>
      <c r="C8" s="3" t="s">
        <v>81</v>
      </c>
      <c r="D8" s="5">
        <f>B8/Corpus_Flow!$B$5</f>
        <v>0.260027955440722</v>
      </c>
      <c r="F8" s="9" t="s">
        <v>85</v>
      </c>
      <c r="G8" s="10">
        <f>SUMIF($C$5:$C$25,F8,$B$5:$B$25)</f>
        <v>4282</v>
      </c>
      <c r="H8" s="11">
        <f>G8/Corpus_Flow!$B$5</f>
        <v>0.181371510864501</v>
      </c>
    </row>
    <row r="9" ht="23" customHeight="1" spans="1:8">
      <c r="A9" s="3" t="s">
        <v>86</v>
      </c>
      <c r="B9" s="4">
        <v>54</v>
      </c>
      <c r="C9" s="3" t="s">
        <v>81</v>
      </c>
      <c r="D9" s="5">
        <f>B9/Corpus_Flow!$B$5</f>
        <v>0.00228726333178025</v>
      </c>
    </row>
    <row r="10" ht="23" customHeight="1" spans="1:8">
      <c r="A10" s="3" t="s">
        <v>87</v>
      </c>
      <c r="B10" s="4">
        <v>792</v>
      </c>
      <c r="C10" s="3" t="s">
        <v>81</v>
      </c>
      <c r="D10" s="5">
        <f>B10/Corpus_Flow!$B$5</f>
        <v>0.0335465288661104</v>
      </c>
    </row>
    <row r="11" ht="23" customHeight="1" spans="1:8">
      <c r="A11" s="3" t="s">
        <v>88</v>
      </c>
      <c r="B11" s="4">
        <v>540</v>
      </c>
      <c r="C11" s="3" t="s">
        <v>81</v>
      </c>
      <c r="D11" s="5">
        <f>B11/Corpus_Flow!$B$5</f>
        <v>0.0228726333178025</v>
      </c>
      <c r="F11" t="s">
        <v>89</v>
      </c>
    </row>
    <row r="12" ht="23" customHeight="1" spans="1:8">
      <c r="A12" s="3" t="s">
        <v>90</v>
      </c>
      <c r="B12" s="4">
        <v>42</v>
      </c>
      <c r="C12" s="3" t="s">
        <v>81</v>
      </c>
      <c r="D12" s="5">
        <f>B12/Corpus_Flow!$B$5</f>
        <v>0.00177898259138464</v>
      </c>
      <c r="F12" t="s">
        <v>91</v>
      </c>
    </row>
    <row r="13" ht="23" customHeight="1" spans="1:8">
      <c r="A13" s="3" t="s">
        <v>92</v>
      </c>
      <c r="B13" s="4">
        <v>362</v>
      </c>
      <c r="C13" s="3" t="s">
        <v>81</v>
      </c>
      <c r="D13" s="5">
        <f>B13/Corpus_Flow!$B$5</f>
        <v>0.015333135668601</v>
      </c>
    </row>
    <row r="14" ht="23" customHeight="1" spans="1:8">
      <c r="A14" s="3" t="s">
        <v>93</v>
      </c>
      <c r="B14" s="4">
        <v>85</v>
      </c>
      <c r="C14" s="3" t="s">
        <v>81</v>
      </c>
      <c r="D14" s="5">
        <f>B14/Corpus_Flow!$B$5</f>
        <v>0.00360032191113558</v>
      </c>
    </row>
    <row r="15" ht="23" customHeight="1" spans="1:8">
      <c r="A15" s="3" t="s">
        <v>94</v>
      </c>
      <c r="B15" s="4">
        <v>675</v>
      </c>
      <c r="C15" s="3" t="s">
        <v>81</v>
      </c>
      <c r="D15" s="5">
        <f>B15/Corpus_Flow!$B$5</f>
        <v>0.0285907916472532</v>
      </c>
    </row>
    <row r="16" ht="23" customHeight="1" spans="1:8">
      <c r="A16" s="3" t="s">
        <v>95</v>
      </c>
      <c r="B16" s="4">
        <v>116</v>
      </c>
      <c r="C16" s="3" t="s">
        <v>81</v>
      </c>
      <c r="D16" s="5">
        <f>B16/Corpus_Flow!$B$5</f>
        <v>0.00491338049049091</v>
      </c>
    </row>
    <row r="17" ht="23" customHeight="1" spans="1:4">
      <c r="A17" s="3" t="s">
        <v>96</v>
      </c>
      <c r="B17" s="4">
        <v>1200</v>
      </c>
      <c r="C17" s="3" t="s">
        <v>83</v>
      </c>
      <c r="D17" s="5">
        <f>B17/Corpus_Flow!$B$5</f>
        <v>0.0508280740395612</v>
      </c>
    </row>
    <row r="18" ht="23" customHeight="1" spans="1:4">
      <c r="A18" s="3" t="s">
        <v>97</v>
      </c>
      <c r="B18" s="4">
        <v>1409</v>
      </c>
      <c r="C18" s="3" t="s">
        <v>83</v>
      </c>
      <c r="D18" s="5">
        <f>B18/Corpus_Flow!$B$5</f>
        <v>0.0596806302681181</v>
      </c>
    </row>
    <row r="19" ht="23" customHeight="1" spans="1:4">
      <c r="A19" s="3" t="s">
        <v>98</v>
      </c>
      <c r="B19" s="4">
        <v>1588</v>
      </c>
      <c r="C19" s="3" t="s">
        <v>83</v>
      </c>
      <c r="D19" s="5">
        <f>B19/Corpus_Flow!$B$5</f>
        <v>0.067262484645686</v>
      </c>
    </row>
    <row r="20" ht="23" customHeight="1" spans="1:4">
      <c r="A20" s="3" t="s">
        <v>99</v>
      </c>
      <c r="B20" s="4">
        <v>291</v>
      </c>
      <c r="C20" s="3" t="s">
        <v>83</v>
      </c>
      <c r="D20" s="5">
        <f>B20/Corpus_Flow!$B$5</f>
        <v>0.0123258079545936</v>
      </c>
    </row>
    <row r="21" ht="23" customHeight="1" spans="1:4">
      <c r="A21" s="3" t="s">
        <v>100</v>
      </c>
      <c r="B21" s="4">
        <v>1833</v>
      </c>
      <c r="C21" s="3" t="s">
        <v>85</v>
      </c>
      <c r="D21" s="5">
        <f>B21/Corpus_Flow!$B$5</f>
        <v>0.0776398830954297</v>
      </c>
    </row>
    <row r="22" ht="23" customHeight="1" spans="1:4">
      <c r="A22" s="3" t="s">
        <v>101</v>
      </c>
      <c r="B22" s="4">
        <v>1086</v>
      </c>
      <c r="C22" s="3" t="s">
        <v>85</v>
      </c>
      <c r="D22" s="5">
        <f>B22/Corpus_Flow!$B$5</f>
        <v>0.0459994070058029</v>
      </c>
    </row>
    <row r="23" ht="23" customHeight="1" spans="1:4">
      <c r="A23" s="3" t="s">
        <v>102</v>
      </c>
      <c r="B23" s="4">
        <v>1315</v>
      </c>
      <c r="C23" s="3" t="s">
        <v>85</v>
      </c>
      <c r="D23" s="5">
        <f>B23/Corpus_Flow!$B$5</f>
        <v>0.0556990978016858</v>
      </c>
    </row>
    <row r="24" ht="23" customHeight="1" spans="1:4">
      <c r="A24" s="3" t="s">
        <v>103</v>
      </c>
      <c r="B24" s="4">
        <v>46</v>
      </c>
      <c r="C24" s="3" t="s">
        <v>85</v>
      </c>
      <c r="D24" s="5">
        <f>B24/Corpus_Flow!$B$5</f>
        <v>0.00194840950484985</v>
      </c>
    </row>
    <row r="25" ht="23" customHeight="1" spans="1:4">
      <c r="A25" s="3" t="s">
        <v>104</v>
      </c>
      <c r="B25" s="4">
        <v>2</v>
      </c>
      <c r="C25" s="3" t="s">
        <v>85</v>
      </c>
      <c r="D25" s="5">
        <f>B25/Corpus_Flow!$B$5</f>
        <v>8.4713456732602e-5</v>
      </c>
    </row>
    <row r="27" spans="1:4">
      <c r="A27" t="s">
        <v>105</v>
      </c>
      <c r="B27" s="7">
        <f>SUM(B5:B25)</f>
        <v>23609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42576D"/>
  </sheetPr>
  <dimension ref="A2:H26"/>
  <sheetViews>
    <sheetView showGridLines="0" workbookViewId="0">
      <selection activeCell="G16" sqref="G16"/>
    </sheetView>
  </sheetViews>
  <sheetFormatPr defaultColWidth="9" defaultRowHeight="16.8" outlineLevelCol="7"/>
  <cols>
    <col min="1" max="1" width="12" customWidth="1"/>
    <col min="2" max="2" width="15" customWidth="1"/>
    <col min="3" max="3" width="35" customWidth="1"/>
    <col min="4" max="4" width="19" customWidth="1"/>
    <col min="5" max="6" width="21" customWidth="1"/>
    <col min="8" max="8" width="83" customWidth="1"/>
  </cols>
  <sheetData>
    <row r="2" ht="20.4" spans="1:8">
      <c r="A2" s="1" t="s">
        <v>106</v>
      </c>
    </row>
    <row r="4" ht="23" customHeight="1" spans="1:8">
      <c r="A4" s="2" t="s">
        <v>107</v>
      </c>
      <c r="B4" s="2" t="s">
        <v>77</v>
      </c>
      <c r="C4" s="2" t="s">
        <v>108</v>
      </c>
      <c r="D4" s="2" t="s">
        <v>109</v>
      </c>
      <c r="E4" s="2" t="s">
        <v>110</v>
      </c>
      <c r="F4" s="2" t="s">
        <v>8</v>
      </c>
      <c r="H4" t="s">
        <v>3</v>
      </c>
    </row>
    <row r="5" ht="23" customHeight="1" spans="1:8">
      <c r="A5" s="3" t="s">
        <v>111</v>
      </c>
      <c r="B5" s="3" t="s">
        <v>79</v>
      </c>
      <c r="C5" s="3" t="s">
        <v>112</v>
      </c>
      <c r="D5" s="4">
        <v>190</v>
      </c>
      <c r="E5" s="4">
        <v>175</v>
      </c>
      <c r="F5" s="4">
        <v>15</v>
      </c>
      <c r="H5" t="s">
        <v>113</v>
      </c>
    </row>
    <row r="6" ht="23" customHeight="1" spans="1:8">
      <c r="A6" s="3" t="s">
        <v>114</v>
      </c>
      <c r="B6" s="3" t="s">
        <v>79</v>
      </c>
      <c r="C6" s="3" t="s">
        <v>115</v>
      </c>
      <c r="D6" s="4">
        <v>209</v>
      </c>
      <c r="E6" s="4">
        <v>168</v>
      </c>
      <c r="F6" s="4">
        <v>41</v>
      </c>
      <c r="H6" t="s">
        <v>116</v>
      </c>
    </row>
    <row r="7" ht="23" customHeight="1" spans="1:8">
      <c r="A7" s="3" t="s">
        <v>117</v>
      </c>
      <c r="B7" s="3" t="s">
        <v>79</v>
      </c>
      <c r="C7" s="3" t="s">
        <v>118</v>
      </c>
      <c r="D7" s="4">
        <v>346</v>
      </c>
      <c r="E7" s="4">
        <v>302</v>
      </c>
      <c r="F7" s="4">
        <v>44</v>
      </c>
    </row>
    <row r="8" ht="23" customHeight="1" spans="1:8">
      <c r="A8" s="3" t="s">
        <v>119</v>
      </c>
      <c r="B8" s="3" t="s">
        <v>79</v>
      </c>
      <c r="C8" s="3" t="s">
        <v>120</v>
      </c>
      <c r="D8" s="4">
        <v>28</v>
      </c>
      <c r="E8" s="4">
        <v>25</v>
      </c>
      <c r="F8" s="4">
        <v>3</v>
      </c>
    </row>
    <row r="9" ht="23" customHeight="1" spans="1:8">
      <c r="A9" s="3" t="s">
        <v>121</v>
      </c>
      <c r="B9" s="3" t="s">
        <v>79</v>
      </c>
      <c r="C9" s="3" t="s">
        <v>122</v>
      </c>
      <c r="D9" s="4">
        <v>631</v>
      </c>
      <c r="E9" s="4">
        <v>535</v>
      </c>
      <c r="F9" s="4">
        <v>96</v>
      </c>
    </row>
    <row r="10" ht="23" customHeight="1" spans="1:8">
      <c r="A10" s="3" t="s">
        <v>123</v>
      </c>
      <c r="B10" s="3" t="s">
        <v>81</v>
      </c>
      <c r="C10" s="3" t="s">
        <v>124</v>
      </c>
      <c r="D10" s="4">
        <v>88</v>
      </c>
      <c r="E10" s="4">
        <v>77</v>
      </c>
      <c r="F10" s="4">
        <v>11</v>
      </c>
    </row>
    <row r="11" ht="23" customHeight="1" spans="1:8">
      <c r="A11" s="3" t="s">
        <v>125</v>
      </c>
      <c r="B11" s="3" t="s">
        <v>81</v>
      </c>
      <c r="C11" s="3" t="s">
        <v>126</v>
      </c>
      <c r="D11" s="4">
        <v>92</v>
      </c>
      <c r="E11" s="4">
        <v>52</v>
      </c>
      <c r="F11" s="4">
        <v>40</v>
      </c>
    </row>
    <row r="12" ht="23" customHeight="1" spans="1:8">
      <c r="A12" s="3" t="s">
        <v>127</v>
      </c>
      <c r="B12" s="3" t="s">
        <v>81</v>
      </c>
      <c r="C12" s="3" t="s">
        <v>128</v>
      </c>
      <c r="D12" s="4">
        <v>353</v>
      </c>
      <c r="E12" s="4">
        <v>324</v>
      </c>
      <c r="F12" s="4">
        <v>29</v>
      </c>
    </row>
    <row r="13" ht="23" customHeight="1" spans="1:8">
      <c r="A13" s="3" t="s">
        <v>129</v>
      </c>
      <c r="B13" s="3" t="s">
        <v>81</v>
      </c>
      <c r="C13" s="3" t="s">
        <v>130</v>
      </c>
      <c r="D13" s="4">
        <v>143</v>
      </c>
      <c r="E13" s="4">
        <v>104</v>
      </c>
      <c r="F13" s="4">
        <v>39</v>
      </c>
    </row>
    <row r="14" ht="23" customHeight="1" spans="1:8">
      <c r="A14" s="3" t="s">
        <v>131</v>
      </c>
      <c r="B14" s="3" t="s">
        <v>81</v>
      </c>
      <c r="C14" s="3" t="s">
        <v>132</v>
      </c>
      <c r="D14" s="4">
        <v>40</v>
      </c>
      <c r="E14" s="4">
        <v>32</v>
      </c>
      <c r="F14" s="4">
        <v>8</v>
      </c>
    </row>
    <row r="15" ht="23" customHeight="1" spans="1:8">
      <c r="A15" s="3" t="s">
        <v>133</v>
      </c>
      <c r="B15" s="3" t="s">
        <v>83</v>
      </c>
      <c r="C15" s="3" t="s">
        <v>134</v>
      </c>
      <c r="D15" s="4">
        <v>281</v>
      </c>
      <c r="E15" s="4">
        <v>244</v>
      </c>
      <c r="F15" s="4">
        <v>37</v>
      </c>
    </row>
    <row r="16" ht="23" customHeight="1" spans="1:8">
      <c r="A16" s="3" t="s">
        <v>135</v>
      </c>
      <c r="B16" s="3" t="s">
        <v>83</v>
      </c>
      <c r="C16" s="3" t="s">
        <v>136</v>
      </c>
      <c r="D16" s="4">
        <v>423</v>
      </c>
      <c r="E16" s="4">
        <v>323</v>
      </c>
      <c r="F16" s="4">
        <v>100</v>
      </c>
    </row>
    <row r="17" ht="23" customHeight="1" spans="1:6">
      <c r="A17" s="3" t="s">
        <v>137</v>
      </c>
      <c r="B17" s="3" t="s">
        <v>83</v>
      </c>
      <c r="C17" s="3" t="s">
        <v>138</v>
      </c>
      <c r="D17" s="4">
        <v>23</v>
      </c>
      <c r="E17" s="4">
        <v>21</v>
      </c>
      <c r="F17" s="4">
        <v>2</v>
      </c>
    </row>
    <row r="18" ht="23" customHeight="1" spans="1:6">
      <c r="A18" s="3" t="s">
        <v>139</v>
      </c>
      <c r="B18" s="3" t="s">
        <v>83</v>
      </c>
      <c r="C18" s="3" t="s">
        <v>140</v>
      </c>
      <c r="D18" s="4">
        <v>66</v>
      </c>
      <c r="E18" s="4">
        <v>52</v>
      </c>
      <c r="F18" s="4">
        <v>14</v>
      </c>
    </row>
    <row r="19" ht="23" customHeight="1" spans="1:6">
      <c r="A19" s="3" t="s">
        <v>141</v>
      </c>
      <c r="B19" s="3" t="s">
        <v>83</v>
      </c>
      <c r="C19" s="3" t="s">
        <v>126</v>
      </c>
      <c r="D19" s="4">
        <v>170</v>
      </c>
      <c r="E19" s="4">
        <v>149</v>
      </c>
      <c r="F19" s="4">
        <v>21</v>
      </c>
    </row>
    <row r="20" ht="23" customHeight="1" spans="1:6">
      <c r="A20" s="3" t="s">
        <v>142</v>
      </c>
      <c r="B20" s="3" t="s">
        <v>83</v>
      </c>
      <c r="C20" s="3" t="s">
        <v>140</v>
      </c>
      <c r="D20" s="4">
        <v>187</v>
      </c>
      <c r="E20" s="4">
        <v>166</v>
      </c>
      <c r="F20" s="4">
        <v>21</v>
      </c>
    </row>
    <row r="21" ht="23" customHeight="1" spans="1:6">
      <c r="A21" s="3" t="s">
        <v>143</v>
      </c>
      <c r="B21" s="3" t="s">
        <v>83</v>
      </c>
      <c r="C21" s="3" t="s">
        <v>144</v>
      </c>
      <c r="D21" s="4">
        <v>99</v>
      </c>
      <c r="E21" s="4">
        <v>86</v>
      </c>
      <c r="F21" s="4">
        <v>13</v>
      </c>
    </row>
    <row r="22" ht="23" customHeight="1" spans="1:6">
      <c r="A22" s="3" t="s">
        <v>145</v>
      </c>
      <c r="B22" s="3" t="s">
        <v>83</v>
      </c>
      <c r="C22" s="3" t="s">
        <v>146</v>
      </c>
      <c r="D22" s="4">
        <v>171</v>
      </c>
      <c r="E22" s="4">
        <v>142</v>
      </c>
      <c r="F22" s="4">
        <v>29</v>
      </c>
    </row>
    <row r="23" ht="23" customHeight="1" spans="1:6">
      <c r="A23" s="3" t="s">
        <v>147</v>
      </c>
      <c r="B23" s="3" t="s">
        <v>85</v>
      </c>
      <c r="C23" s="3" t="s">
        <v>148</v>
      </c>
      <c r="D23" s="4">
        <v>55</v>
      </c>
      <c r="E23" s="4">
        <v>44</v>
      </c>
      <c r="F23" s="4">
        <v>11</v>
      </c>
    </row>
    <row r="24" ht="23" customHeight="1" spans="1:6">
      <c r="A24" s="3" t="s">
        <v>149</v>
      </c>
      <c r="B24" s="3" t="s">
        <v>85</v>
      </c>
      <c r="C24" s="3" t="s">
        <v>150</v>
      </c>
      <c r="D24" s="4">
        <v>137</v>
      </c>
      <c r="E24" s="4">
        <v>112</v>
      </c>
      <c r="F24" s="4">
        <v>25</v>
      </c>
    </row>
    <row r="25" spans="1:6">
      <c r="D25" s="7"/>
      <c r="E25" s="7"/>
      <c r="F25" s="7"/>
    </row>
    <row r="26" spans="1:6">
      <c r="A26" t="s">
        <v>105</v>
      </c>
      <c r="D26" s="7">
        <f>SUM(D5:D24)</f>
        <v>3732</v>
      </c>
      <c r="E26" s="7">
        <f>SUM(E5:E24)</f>
        <v>3133</v>
      </c>
      <c r="F26" s="7">
        <f>SUM(F5:F24)</f>
        <v>599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42576D"/>
  </sheetPr>
  <dimension ref="A2:E14"/>
  <sheetViews>
    <sheetView showGridLines="0" tabSelected="1" workbookViewId="0">
      <selection activeCell="E27" sqref="E27"/>
    </sheetView>
  </sheetViews>
  <sheetFormatPr defaultColWidth="9" defaultRowHeight="16.8" outlineLevelCol="4"/>
  <cols>
    <col min="1" max="1" width="33.5882352941176" customWidth="1"/>
    <col min="2" max="2" width="9.42647058823529" customWidth="1"/>
    <col min="3" max="3" width="12.1176470588235" customWidth="1"/>
    <col min="5" max="5" width="86" customWidth="1"/>
  </cols>
  <sheetData>
    <row r="2" ht="20.4" spans="1:5">
      <c r="A2" s="1" t="s">
        <v>151</v>
      </c>
    </row>
    <row r="4" ht="23" customHeight="1" spans="1:5">
      <c r="A4" s="2" t="s">
        <v>152</v>
      </c>
      <c r="B4" s="2" t="s">
        <v>153</v>
      </c>
      <c r="C4" s="2" t="s">
        <v>154</v>
      </c>
      <c r="E4" t="s">
        <v>155</v>
      </c>
    </row>
    <row r="5" ht="23" customHeight="1" spans="1:5">
      <c r="A5" s="3" t="s">
        <v>4</v>
      </c>
      <c r="B5" s="4">
        <v>23609</v>
      </c>
      <c r="C5" s="3" t="s">
        <v>156</v>
      </c>
      <c r="E5" t="s">
        <v>157</v>
      </c>
    </row>
    <row r="6" ht="23" customHeight="1" spans="1:5">
      <c r="A6" s="3" t="s">
        <v>158</v>
      </c>
      <c r="B6" s="4">
        <v>18450</v>
      </c>
      <c r="C6" s="3" t="s">
        <v>156</v>
      </c>
      <c r="E6" t="s">
        <v>159</v>
      </c>
    </row>
    <row r="7" ht="23" customHeight="1" spans="1:5">
      <c r="A7" s="3" t="s">
        <v>160</v>
      </c>
      <c r="B7" s="5">
        <f>B6/B5</f>
        <v>0.781481638358253</v>
      </c>
      <c r="C7" s="3" t="s">
        <v>161</v>
      </c>
      <c r="E7" t="s">
        <v>162</v>
      </c>
    </row>
    <row r="8" ht="23" customHeight="1" spans="1:5">
      <c r="A8" s="3" t="s">
        <v>163</v>
      </c>
      <c r="B8" s="4">
        <v>0</v>
      </c>
      <c r="C8" s="3" t="s">
        <v>164</v>
      </c>
      <c r="E8" t="s">
        <v>165</v>
      </c>
    </row>
    <row r="9" ht="23" customHeight="1" spans="1:5">
      <c r="A9" s="3" t="s">
        <v>166</v>
      </c>
      <c r="B9" s="6">
        <v>2.14049726799102</v>
      </c>
      <c r="C9" s="3" t="s">
        <v>164</v>
      </c>
      <c r="E9" t="s">
        <v>167</v>
      </c>
    </row>
    <row r="10" ht="23" customHeight="1" spans="1:5">
      <c r="A10" s="3" t="s">
        <v>168</v>
      </c>
      <c r="B10" s="4">
        <v>33</v>
      </c>
      <c r="C10" s="3" t="s">
        <v>164</v>
      </c>
    </row>
    <row r="11" ht="23" customHeight="1" spans="1:5">
      <c r="A11" s="3" t="s">
        <v>169</v>
      </c>
      <c r="B11" s="4">
        <v>2756</v>
      </c>
      <c r="C11" s="3" t="s">
        <v>164</v>
      </c>
    </row>
    <row r="12" ht="23" customHeight="1" spans="1:5">
      <c r="A12" s="3" t="s">
        <v>170</v>
      </c>
      <c r="B12" s="6">
        <v>0.293516688470347</v>
      </c>
      <c r="C12" s="3" t="s">
        <v>171</v>
      </c>
    </row>
    <row r="13" ht="23" customHeight="1" spans="1:5">
      <c r="A13" s="3" t="s">
        <v>172</v>
      </c>
      <c r="B13" s="4">
        <v>158</v>
      </c>
      <c r="C13" s="3" t="s">
        <v>156</v>
      </c>
    </row>
    <row r="14" ht="23" customHeight="1" spans="1:5">
      <c r="A14" s="3" t="s">
        <v>173</v>
      </c>
      <c r="B14" s="5">
        <f>B13/B5</f>
        <v>0.00669236308187556</v>
      </c>
      <c r="C14" s="3" t="s">
        <v>161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Corpus_Flow</vt:lpstr>
      <vt:lpstr>Category_Frequencies</vt:lpstr>
      <vt:lpstr>Monthly_Volume</vt:lpstr>
      <vt:lpstr>Episode_Summary</vt:lpstr>
      <vt:lpstr>Overall_Engagement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摩西姐姐</cp:lastModifiedBy>
  <dcterms:created xsi:type="dcterms:W3CDTF">2026-10-08T23:42:00Z</dcterms:created>
  <dcterms:modified xsi:type="dcterms:W3CDTF">2026-10-13T21:33:31Z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C3FC12CFB45B63D9AB4AC76A95FF6879_42</vt:lpwstr>
  </property>
  <property fmtid="{D5CDD505-2E9C-101B-9397-08002B2CF9AE}" pid="3" name="KSOProductBuildVer">
    <vt:lpwstr>2052-12.1.25867.25867</vt:lpwstr>
  </property>
  <property fmtid="{D5CDD505-2E9C-101B-9397-08002B2CF9AE}" pid="4" name="CalculationRule">
    <vt:i4>0</vt:i4>
  </property>
</Properties>
</file>